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óric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Âncoras – Referência" sheetId="3" state="visible" r:id="rId3"/>
  </sheets>
  <definedNames>
    <definedName name="_xlnm._FilterDatabase" localSheetId="0" hidden="1">'Histórico'!$A$3:$S$5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88888"/>
      <sz val="9"/>
    </font>
    <font>
      <name val="Arial"/>
      <b val="1"/>
      <color rgb="00FFFFFF"/>
      <sz val="9"/>
    </font>
    <font>
      <name val="Arial"/>
      <i val="1"/>
      <color rgb="00666666"/>
      <sz val="9"/>
    </font>
    <font>
      <name val="Arial"/>
      <i val="1"/>
      <color rgb="00999999"/>
      <sz val="8"/>
    </font>
    <font>
      <name val="Arial"/>
      <b val="1"/>
      <sz val="10"/>
    </font>
    <font>
      <name val="Arial"/>
      <color rgb="001A4DB0"/>
      <sz val="10"/>
    </font>
    <font>
      <name val="Arial"/>
      <sz val="9"/>
    </font>
    <font>
      <name val="Arial"/>
      <color rgb="001A4DB0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b val="1"/>
      <color rgb="003B82F6"/>
      <sz val="9"/>
    </font>
    <font>
      <name val="Arial"/>
      <b val="1"/>
      <color rgb="008B5CF6"/>
      <sz val="9"/>
    </font>
    <font>
      <name val="Arial"/>
      <b val="1"/>
      <color rgb="0010B981"/>
      <sz val="9"/>
    </font>
    <font>
      <name val="Arial"/>
      <b val="1"/>
      <color rgb="00F59E0B"/>
      <sz val="9"/>
    </font>
    <font>
      <name val="Arial"/>
      <b val="1"/>
      <color rgb="00EF4444"/>
      <sz val="9"/>
    </font>
    <font>
      <name val="Arial"/>
      <b val="1"/>
      <color rgb="00EC4899"/>
      <sz val="9"/>
    </font>
    <font>
      <name val="Arial"/>
      <b val="1"/>
      <color rgb="00F97316"/>
      <sz val="9"/>
    </font>
    <font>
      <name val="Arial"/>
      <b val="1"/>
      <color rgb="0014B8A6"/>
      <sz val="9"/>
    </font>
  </fonts>
  <fills count="10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1A1A24"/>
      </patternFill>
    </fill>
    <fill>
      <patternFill patternType="solid">
        <fgColor rgb="001E3A5F"/>
      </patternFill>
    </fill>
    <fill>
      <patternFill patternType="solid">
        <fgColor rgb="004A1942"/>
      </patternFill>
    </fill>
    <fill>
      <patternFill patternType="solid">
        <fgColor rgb="000F3D2E"/>
      </patternFill>
    </fill>
    <fill>
      <patternFill patternType="solid">
        <fgColor rgb="00F8F8F8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left" vertical="top" wrapText="1"/>
    </xf>
    <xf numFmtId="0" fontId="17" fillId="9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0" fontId="19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0" customWidth="1" min="5" max="5"/>
    <col width="16" customWidth="1" min="6" max="6"/>
    <col width="18" customWidth="1" min="7" max="7"/>
    <col width="22" customWidth="1" min="8" max="8"/>
    <col width="10" customWidth="1" min="9" max="9"/>
    <col width="18" customWidth="1" min="10" max="10"/>
    <col width="10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32" customHeight="1">
      <c r="A1" s="1" t="inlineStr">
        <is>
          <t>HISTÓRICO DE RESULTADOS — TESTE DE ÂNCORAS DE CARREIRA</t>
        </is>
      </c>
    </row>
    <row r="2" ht="18" customHeight="1">
      <c r="A2" s="2" t="inlineStr">
        <is>
          <t>Gerado em: 25/05/2026 | Sistema de Carreira – Módulo 1</t>
        </is>
      </c>
    </row>
    <row r="3" ht="28" customHeight="1">
      <c r="A3" s="3" t="inlineStr">
        <is>
          <t>Data/Hora</t>
        </is>
      </c>
      <c r="B3" s="3" t="inlineStr">
        <is>
          <t>Nome</t>
        </is>
      </c>
      <c r="C3" s="3" t="inlineStr">
        <is>
          <t>E-mail</t>
        </is>
      </c>
      <c r="D3" s="3" t="inlineStr">
        <is>
          <t>Cargo</t>
        </is>
      </c>
      <c r="E3" s="3" t="inlineStr">
        <is>
          <t>Empresa</t>
        </is>
      </c>
      <c r="F3" s="3" t="inlineStr">
        <is>
          <t>Tempo Carreira</t>
        </is>
      </c>
      <c r="G3" s="3" t="inlineStr">
        <is>
          <t>Nível Hierárquico</t>
        </is>
      </c>
      <c r="H3" s="4" t="inlineStr">
        <is>
          <t>Âncora Principal</t>
        </is>
      </c>
      <c r="I3" s="4" t="inlineStr">
        <is>
          <t>Pontos (Principal)</t>
        </is>
      </c>
      <c r="J3" s="4" t="inlineStr">
        <is>
          <t>2ª Âncora</t>
        </is>
      </c>
      <c r="K3" s="4" t="inlineStr">
        <is>
          <t>Pontos (2ª)</t>
        </is>
      </c>
      <c r="L3" s="5" t="inlineStr">
        <is>
          <t>TF</t>
        </is>
      </c>
      <c r="M3" s="5" t="inlineStr">
        <is>
          <t>GG</t>
        </is>
      </c>
      <c r="N3" s="5" t="inlineStr">
        <is>
          <t>AI</t>
        </is>
      </c>
      <c r="O3" s="5" t="inlineStr">
        <is>
          <t>SE</t>
        </is>
      </c>
      <c r="P3" s="5" t="inlineStr">
        <is>
          <t>CE</t>
        </is>
      </c>
      <c r="Q3" s="5" t="inlineStr">
        <is>
          <t>SD</t>
        </is>
      </c>
      <c r="R3" s="5" t="inlineStr">
        <is>
          <t>PD</t>
        </is>
      </c>
      <c r="S3" s="5" t="inlineStr">
        <is>
          <t>EV</t>
        </is>
      </c>
    </row>
    <row r="4" ht="20" customHeight="1">
      <c r="A4" s="6" t="inlineStr">
        <is>
          <t>01/06/2025 09:30</t>
        </is>
      </c>
      <c r="B4" s="7" t="inlineStr">
        <is>
          <t>João Silva</t>
        </is>
      </c>
      <c r="C4" s="7" t="inlineStr">
        <is>
          <t>joao@empresa.com</t>
        </is>
      </c>
      <c r="D4" s="7" t="inlineStr">
        <is>
          <t>Gerente de TI</t>
        </is>
      </c>
      <c r="E4" s="7" t="inlineStr">
        <is>
          <t>ABC Ltda</t>
        </is>
      </c>
      <c r="F4" s="7" t="inlineStr">
        <is>
          <t>10 a 20 anos</t>
        </is>
      </c>
      <c r="G4" s="7" t="inlineStr">
        <is>
          <t>Gerente</t>
        </is>
      </c>
      <c r="H4" s="7" t="inlineStr">
        <is>
          <t>Técnico Funcional</t>
        </is>
      </c>
      <c r="I4" s="7" t="n">
        <v>26</v>
      </c>
      <c r="J4" s="7" t="inlineStr">
        <is>
          <t>Puro Desafio</t>
        </is>
      </c>
      <c r="K4" s="7" t="n">
        <v>22</v>
      </c>
      <c r="L4" s="8" t="n">
        <v>26</v>
      </c>
      <c r="M4" s="8" t="n">
        <v>18</v>
      </c>
      <c r="N4" s="8" t="n">
        <v>15</v>
      </c>
      <c r="O4" s="8" t="n">
        <v>12</v>
      </c>
      <c r="P4" s="8" t="n">
        <v>14</v>
      </c>
      <c r="Q4" s="8" t="n">
        <v>16</v>
      </c>
      <c r="R4" s="8" t="n">
        <v>22</v>
      </c>
      <c r="S4" s="8" t="n">
        <v>19</v>
      </c>
    </row>
    <row r="5" ht="16" customHeight="1">
      <c r="A5" s="9" t="inlineStr">
        <is>
          <t>↑ Linha de exemplo demonstrativa — será substituída pelos dados reais dos respondentes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</row>
  </sheetData>
  <autoFilter ref="A3:S5"/>
  <mergeCells count="3">
    <mergeCell ref="A2:S2"/>
    <mergeCell ref="A1:S1"/>
    <mergeCell ref="A5:S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32" customHeight="1">
      <c r="A1" s="1" t="inlineStr">
        <is>
          <t>DASHBOARD — ÂNCORAS DE CARREIRA</t>
        </is>
      </c>
    </row>
    <row r="2">
      <c r="A2" s="2" t="inlineStr">
        <is>
          <t>Métricas consolidadas de todos os respondentes</t>
        </is>
      </c>
    </row>
    <row r="4">
      <c r="A4" s="11" t="inlineStr">
        <is>
          <t>Total de Respondentes</t>
        </is>
      </c>
      <c r="B4" s="12">
        <f>COUNTA(Histórico!B4:B10000)-1</f>
        <v/>
      </c>
    </row>
    <row r="5">
      <c r="A5" s="11" t="inlineStr">
        <is>
          <t>Âncora Mais Comum</t>
        </is>
      </c>
      <c r="B5" s="12">
        <f>IFERROR(INDEX(Histórico!H4:H10000,MATCH(MAX(COUNTIF(Histórico!H4:H10000,Histórico!H4:H10000)),COUNTIF(Histórico!H4:H10000,Histórico!H4:H10000),0)),"—")</f>
        <v/>
      </c>
    </row>
    <row r="6">
      <c r="A6" s="11" t="inlineStr">
        <is>
          <t>Média Geral de Pontos (Âncora Principal)</t>
        </is>
      </c>
      <c r="B6" s="12">
        <f>IFERROR(AVERAGEIF(Histórico!B4:B10000,"&lt;&gt;",Histórico!I4:I10000),0)</f>
        <v/>
      </c>
    </row>
    <row r="9">
      <c r="A9" s="13" t="inlineStr">
        <is>
          <t>Âncora</t>
        </is>
      </c>
      <c r="B9" s="14" t="inlineStr">
        <is>
          <t>Contagem</t>
        </is>
      </c>
      <c r="C9" s="14" t="inlineStr">
        <is>
          <t>% do Total</t>
        </is>
      </c>
    </row>
    <row r="10">
      <c r="A10" s="15" t="inlineStr">
        <is>
          <t>Técnico Funcional</t>
        </is>
      </c>
      <c r="B10" s="16">
        <f>COUNTIF(Histórico!H:H,"Técnico Funcional")</f>
        <v/>
      </c>
      <c r="C10" s="17">
        <f>IFERROR(B10/$B$4,0)</f>
        <v/>
      </c>
    </row>
    <row r="11">
      <c r="A11" s="15" t="inlineStr">
        <is>
          <t>Gerência Geral</t>
        </is>
      </c>
      <c r="B11" s="16">
        <f>COUNTIF(Histórico!H:H,"Gerência Geral")</f>
        <v/>
      </c>
      <c r="C11" s="17">
        <f>IFERROR(B11/$B$4,0)</f>
        <v/>
      </c>
    </row>
    <row r="12">
      <c r="A12" s="15" t="inlineStr">
        <is>
          <t>Autonomia e Independência</t>
        </is>
      </c>
      <c r="B12" s="16">
        <f>COUNTIF(Histórico!H:H,"Autonomia e Independência")</f>
        <v/>
      </c>
      <c r="C12" s="17">
        <f>IFERROR(B12/$B$4,0)</f>
        <v/>
      </c>
    </row>
    <row r="13">
      <c r="A13" s="15" t="inlineStr">
        <is>
          <t>Segurança e Estabilidade</t>
        </is>
      </c>
      <c r="B13" s="16">
        <f>COUNTIF(Histórico!H:H,"Segurança e Estabilidade")</f>
        <v/>
      </c>
      <c r="C13" s="17">
        <f>IFERROR(B13/$B$4,0)</f>
        <v/>
      </c>
    </row>
    <row r="14">
      <c r="A14" s="15" t="inlineStr">
        <is>
          <t>Criatividade e Empreendedorismo</t>
        </is>
      </c>
      <c r="B14" s="16">
        <f>COUNTIF(Histórico!H:H,"Criatividade e Empreendedorismo")</f>
        <v/>
      </c>
      <c r="C14" s="17">
        <f>IFERROR(B14/$B$4,0)</f>
        <v/>
      </c>
    </row>
    <row r="15">
      <c r="A15" s="15" t="inlineStr">
        <is>
          <t>Serviço e Dedicação</t>
        </is>
      </c>
      <c r="B15" s="16">
        <f>COUNTIF(Histórico!H:H,"Serviço e Dedicação")</f>
        <v/>
      </c>
      <c r="C15" s="17">
        <f>IFERROR(B15/$B$4,0)</f>
        <v/>
      </c>
    </row>
    <row r="16">
      <c r="A16" s="15" t="inlineStr">
        <is>
          <t>Puro Desafio</t>
        </is>
      </c>
      <c r="B16" s="16">
        <f>COUNTIF(Histórico!H:H,"Puro Desafio")</f>
        <v/>
      </c>
      <c r="C16" s="17">
        <f>IFERROR(B16/$B$4,0)</f>
        <v/>
      </c>
    </row>
    <row r="17">
      <c r="A17" s="15" t="inlineStr">
        <is>
          <t>Estilo de Vida</t>
        </is>
      </c>
      <c r="B17" s="16">
        <f>COUNTIF(Histórico!H:H,"Estilo de Vida")</f>
        <v/>
      </c>
      <c r="C17" s="17">
        <f>IFERROR(B17/$B$4,0)</f>
        <v/>
      </c>
    </row>
    <row r="18">
      <c r="A18" s="18" t="n"/>
      <c r="B18" s="19" t="n"/>
      <c r="C18" s="19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60" customWidth="1" min="4" max="4"/>
    <col width="45" customWidth="1" min="5" max="5"/>
  </cols>
  <sheetData>
    <row r="1" ht="30" customHeight="1">
      <c r="A1" s="20" t="inlineStr">
        <is>
          <t>REFERÊNCIA — AS 8 ÂNCORAS DE CARREIRA (EDGAR SCHEIN)</t>
        </is>
      </c>
    </row>
    <row r="3" ht="22" customHeight="1">
      <c r="A3" s="21" t="inlineStr">
        <is>
          <t>Cód.</t>
        </is>
      </c>
      <c r="B3" s="21" t="inlineStr">
        <is>
          <t>Âncora</t>
        </is>
      </c>
      <c r="C3" s="21" t="inlineStr">
        <is>
          <t>Perfil / Motivação Central</t>
        </is>
      </c>
      <c r="D3" s="21" t="inlineStr">
        <is>
          <t>Cargos Sugeridos</t>
        </is>
      </c>
      <c r="E3" s="21" t="inlineStr">
        <is>
          <t>Áreas Ideais</t>
        </is>
      </c>
    </row>
    <row r="4" ht="55" customHeight="1">
      <c r="A4" s="22" t="inlineStr">
        <is>
          <t>TF</t>
        </is>
      </c>
      <c r="B4" s="23" t="inlineStr">
        <is>
          <t>Técnico Funcional</t>
        </is>
      </c>
      <c r="C4" s="24" t="inlineStr">
        <is>
          <t>Movido pela excelência técnica e especialização. Prefere ser reconhecido por sua expertise em uma área específica do que por gerenciar pessoas. Sente-se realizado quando seus conhecimentos são valorizados e continuamente desenvolvidos.</t>
        </is>
      </c>
      <c r="D4" s="24" t="inlineStr">
        <is>
          <t>Analista Sênior, Especialista, Consultor Técnico, Arquiteto de Soluções, Engenheiro Sênior, Cientista de Dados, Pesquisador, Médico Especialista, Advogado Especializado</t>
        </is>
      </c>
      <c r="E4" s="24" t="inlineStr">
        <is>
          <t>Tecnologia, Engenharia, Ciência, Direito, Medicina, Finanças (análise), P&amp;D</t>
        </is>
      </c>
    </row>
    <row r="5" ht="55" customHeight="1">
      <c r="A5" s="25" t="inlineStr">
        <is>
          <t>GG</t>
        </is>
      </c>
      <c r="B5" s="26" t="inlineStr">
        <is>
          <t>Gerência Geral</t>
        </is>
      </c>
      <c r="C5" s="27" t="inlineStr">
        <is>
          <t>Deseja integrar e liderar equipes, tomar decisões estratégicas e ter impacto amplo. Valoriza ascensão hierárquica, responsabilidade sobre resultados e reconhecimento como líder. Sente-se realizado gerenciando complexidade.</t>
        </is>
      </c>
      <c r="D5" s="27" t="inlineStr">
        <is>
          <t>Gerente Geral, Diretor Executivo, CEO, VP de Operações, Country Manager, Sócio-Gerente, Superintendente, Presidente de Divisão</t>
        </is>
      </c>
      <c r="E5" s="27" t="inlineStr">
        <is>
          <t>Grandes Corporações, Consultoria de Gestão, Setor Público (alto escalão), Conglomerados, Bancos</t>
        </is>
      </c>
    </row>
    <row r="6" ht="55" customHeight="1">
      <c r="A6" s="22" t="inlineStr">
        <is>
          <t>AI</t>
        </is>
      </c>
      <c r="B6" s="28" t="inlineStr">
        <is>
          <t>Autonomia e Independência</t>
        </is>
      </c>
      <c r="C6" s="24" t="inlineStr">
        <is>
          <t>Precisa de liberdade para trabalhar à sua maneira, no seu ritmo e com seus métodos. Restrições, regras excessivas e supervisão intensa são insuportáveis. Valoriza autonomia acima de status ou salário.</t>
        </is>
      </c>
      <c r="D6" s="24" t="inlineStr">
        <is>
          <t>Consultor Independente, Freelancer Sênior, Professor Universitário, Empreendedor Solo, Coach Executivo, Pesquisador Independente, Perito Judicial</t>
        </is>
      </c>
      <c r="E6" s="24" t="inlineStr">
        <is>
          <t>Consultoria, Educação Superior, Startups (fundador), Freelancing, Advocacia Autônoma</t>
        </is>
      </c>
    </row>
    <row r="7" ht="55" customHeight="1">
      <c r="A7" s="25" t="inlineStr">
        <is>
          <t>SE</t>
        </is>
      </c>
      <c r="B7" s="29" t="inlineStr">
        <is>
          <t>Segurança e Estabilidade</t>
        </is>
      </c>
      <c r="C7" s="27" t="inlineStr">
        <is>
          <t>Prioriza previsibilidade, estabilidade financeira e segurança no emprego. Prefere ambientes organizados com planos de carreira claros. Lealdade à organização é valorizada e retribuída. Evita riscos desnecessários.</t>
        </is>
      </c>
      <c r="D7" s="27" t="inlineStr">
        <is>
          <t>Analista de Carreira Pública, Servidor Público, Bancário, Técnico de Grandes Corporações, Gestor de Risco, Administrador Público, Auditor</t>
        </is>
      </c>
      <c r="E7" s="27" t="inlineStr">
        <is>
          <t>Setor Público, Bancos Tradicionais, Grandes Multinacionais estáveis, Autarquias, Militares</t>
        </is>
      </c>
    </row>
    <row r="8" ht="55" customHeight="1">
      <c r="A8" s="22" t="inlineStr">
        <is>
          <t>CE</t>
        </is>
      </c>
      <c r="B8" s="30" t="inlineStr">
        <is>
          <t>Criatividade e Empreendedorismo</t>
        </is>
      </c>
      <c r="C8" s="24" t="inlineStr">
        <is>
          <t>Motivado por criar algo do zero, inovar e construir negócios próprios. Necessidade intensa de propriedade sobre os resultados. Tolerância alta ao risco. Não se realiza sendo empregado sem autonomia criativa e empreendedora.</t>
        </is>
      </c>
      <c r="D8" s="24" t="inlineStr">
        <is>
          <t>Fundador de Startup, Empreendedor Serial, Diretor de Inovação, Intrapreneur, Gerente de Produto (produto próprio), Head de Novos Negócios</t>
        </is>
      </c>
      <c r="E8" s="24" t="inlineStr">
        <is>
          <t>Startups, Venture Capital, Hubs de Inovação, Aceleradoras, Franquias próprias, Intrapreneurship</t>
        </is>
      </c>
    </row>
    <row r="9" ht="55" customHeight="1">
      <c r="A9" s="25" t="inlineStr">
        <is>
          <t>SD</t>
        </is>
      </c>
      <c r="B9" s="31" t="inlineStr">
        <is>
          <t>Serviço e Dedicação</t>
        </is>
      </c>
      <c r="C9" s="27" t="inlineStr">
        <is>
          <t>Trabalho deve ter propósito e impacto social. Motivado por contribuir para causas maiores, ajudar pessoas e tornar o mundo melhor. Rejeita carreiras lucrativas sem propósito. Sente-se realizado quando seu trabalho faz diferença real.</t>
        </is>
      </c>
      <c r="D9" s="27" t="inlineStr">
        <is>
          <t>Assistente Social, Médico/Enfermeiro, Educador, Gestor de ESG, Consultor de Impacto Social, Líder de ONG, Gestor de Saúde Pública, Psicólogo Organizacional</t>
        </is>
      </c>
      <c r="E9" s="27" t="inlineStr">
        <is>
          <t>ONGs, Setor de Saúde, Educação, ESG Corporativo, Empresas B, Organizações Sociais</t>
        </is>
      </c>
    </row>
    <row r="10" ht="55" customHeight="1">
      <c r="A10" s="22" t="inlineStr">
        <is>
          <t>PD</t>
        </is>
      </c>
      <c r="B10" s="32" t="inlineStr">
        <is>
          <t>Puro Desafio</t>
        </is>
      </c>
      <c r="C10" s="24" t="inlineStr">
        <is>
          <t>Energizado por problemas extremamente difíceis e situações aparentemente impossíveis. A dificuldade em si é a recompensa. Entedia-se com tarefas rotineiras. Busca constantemente o próximo grande desafio.</t>
        </is>
      </c>
      <c r="D10" s="24" t="inlineStr">
        <is>
          <t>Consultor de Turnaround, Gestor de Crise, Engenheiro de Missões Críticas, Profissional de Segurança Cibernética, Trader, Estrategista Militar, Head de Projetos Complexos</t>
        </is>
      </c>
      <c r="E10" s="24" t="inlineStr">
        <is>
          <t>Consultoria Estratégica, Startups em Hypergrowth, Defesa, Segurança Cibernética, Mercado Financeiro de Alta Volatilidade</t>
        </is>
      </c>
    </row>
    <row r="11" ht="55" customHeight="1">
      <c r="A11" s="25" t="inlineStr">
        <is>
          <t>EV</t>
        </is>
      </c>
      <c r="B11" s="33" t="inlineStr">
        <is>
          <t>Estilo de Vida</t>
        </is>
      </c>
      <c r="C11" s="27" t="inlineStr">
        <is>
          <t>Busca equilíbrio genuíno entre vida profissional e pessoal. Carreira importante, mas não pode sufocar família, saúde e bem-estar. Valoriza flexibilidade, trabalho remoto e culturas organizacionais que respeitam o ser humano integral.</t>
        </is>
      </c>
      <c r="D11" s="27" t="inlineStr">
        <is>
          <t>Gerente com Trabalho Híbrido/Remoto, Profissional Liberal com horários flexíveis, Consultor por Projeto, Professor (regime parcial), Analista em empresas com cultura de bem-estar</t>
        </is>
      </c>
      <c r="E11" s="27" t="inlineStr">
        <is>
          <t>Empresas com Cultura de Bem-estar, Remote-first, Educação, Consultorias Flexíveis, Cooperativas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2026-05-25T19:26:36Z</dcterms:created>
  <dcterms:modified xmlns:dcterms="http://purl.org/dc/terms/" xmlns:xsi="http://www.w3.org/2001/XMLSchema-instance" xsi:type="dcterms:W3CDTF">2026-05-25T19:26:36Z</dcterms:modified>
</cp:coreProperties>
</file>